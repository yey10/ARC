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1FD07B1-1320-4038-850D-480FAAD30D69}" xr6:coauthVersionLast="47" xr6:coauthVersionMax="47" xr10:uidLastSave="{00000000-0000-0000-0000-000000000000}"/>
  <bookViews>
    <workbookView xWindow="-120" yWindow="-120" windowWidth="29040" windowHeight="15840" xr2:uid="{B5E93FD8-A721-433F-9226-396B35022EC2}"/>
  </bookViews>
  <sheets>
    <sheet name="MONTERIA" sheetId="1" r:id="rId1"/>
    <sheet name="LORICA" sheetId="2" r:id="rId2"/>
  </sheets>
  <definedNames>
    <definedName name="_xlnm._FilterDatabase" localSheetId="1" hidden="1">LORICA!$A$2:$E$2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2" l="1"/>
  <c r="D36" i="2"/>
  <c r="E31" i="2"/>
  <c r="D31" i="2"/>
  <c r="E21" i="2"/>
  <c r="D21" i="2"/>
  <c r="E26" i="2"/>
  <c r="D26" i="2"/>
  <c r="E16" i="2"/>
  <c r="D16" i="2"/>
  <c r="E11" i="2"/>
  <c r="D11" i="2"/>
  <c r="E6" i="2"/>
  <c r="D6" i="2"/>
  <c r="E36" i="1"/>
  <c r="D36" i="1"/>
  <c r="E31" i="1"/>
  <c r="D31" i="1"/>
  <c r="E26" i="1"/>
  <c r="D26" i="1"/>
  <c r="E21" i="1"/>
  <c r="D21" i="1"/>
  <c r="E16" i="1"/>
  <c r="D16" i="1"/>
  <c r="E11" i="1"/>
  <c r="D11" i="1"/>
  <c r="E6" i="1"/>
  <c r="D6" i="1"/>
</calcChain>
</file>

<file path=xl/sharedStrings.xml><?xml version="1.0" encoding="utf-8"?>
<sst xmlns="http://schemas.openxmlformats.org/spreadsheetml/2006/main" count="124" uniqueCount="18">
  <si>
    <t>AÑO</t>
  </si>
  <si>
    <t>MES</t>
  </si>
  <si>
    <t>PAPEL Y CARTON</t>
  </si>
  <si>
    <t>PLASTICOS</t>
  </si>
  <si>
    <t>METALES</t>
  </si>
  <si>
    <t>ENERO</t>
  </si>
  <si>
    <t>FEBRERO</t>
  </si>
  <si>
    <t>MARZO</t>
  </si>
  <si>
    <t>ABRIL</t>
  </si>
  <si>
    <t>MAYO</t>
  </si>
  <si>
    <t>JUNIO</t>
  </si>
  <si>
    <t>JULIO</t>
  </si>
  <si>
    <t>APROVECHAMIENTO (TON)</t>
  </si>
  <si>
    <t>RECHAZO (TON)</t>
  </si>
  <si>
    <t>FAMILIA DE MATERIALES</t>
  </si>
  <si>
    <t>SUBTOTAL</t>
  </si>
  <si>
    <t>REPORTE DE TONELADAS - MONTERIA - ENERO A JULIO 2026</t>
  </si>
  <si>
    <t>REPORTE DE TONELADAS - LORICA - ENERO A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</si>
</sst>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6"/>
      <color theme="1"/>
      <name val="Arial Black"/>
      <family val="2"/>
    </font>
    <font>
      <sz val="11"/>
      <color theme="1"/>
      <name val="Arial Black"/>
      <family val="2"/>
    </font>
    <font>
      <b/>
      <sz val="12"/>
      <name val="Arial Black"/>
      <family val="2"/>
    </font>
    <font>
      <sz val="11"/>
      <color rgb="FFFFC000"/>
      <name val="Arial Black"/>
      <family val="2"/>
    </font>
    <font>
      <sz val="12"/>
      <color theme="1"/>
      <name val="Arial Black"/>
      <family val="2"/>
    </font>
    <font>
      <sz val="12"/>
      <color rgb="FFFFC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3" borderId="1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Black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Black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84B20-0899-474B-A0BA-3C66932138A3}" name="Tabla2" displayName="Tabla2" ref="A2:E36" totalsRowShown="0" headerRowDxfId="7" dataDxfId="8" headerRowBorderDxfId="15" tableBorderDxfId="16" totalsRowBorderDxfId="14">
  <autoFilter ref="A2:E36" xr:uid="{B9E84B20-0899-474B-A0BA-3C66932138A3}"/>
  <tableColumns count="5">
    <tableColumn id="1" xr3:uid="{38177143-BE81-41B8-9CBE-2E643FE0E0E3}" name="AÑO" dataDxfId="13"/>
    <tableColumn id="2" xr3:uid="{4CE55EDC-9355-45B3-BCE2-4A2EBAFCD1B0}" name="MES" dataDxfId="12"/>
    <tableColumn id="3" xr3:uid="{ED2E97F1-A5D4-4FE5-AF17-14404C50F725}" name="FAMILIA DE MATERIALES" dataDxfId="11"/>
    <tableColumn id="4" xr3:uid="{27B35FA9-B5C2-4157-A39F-C999DEABD843}" name="APROVECHAMIENTO (TON)" dataDxfId="10"/>
    <tableColumn id="5" xr3:uid="{0D1A584A-81F5-4F09-96CC-06627F442579}" name="RECHAZO (TON)" dataDxfId="9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AD7AC-560E-474A-B1E5-A4AF4532FF31}" name="Tabla1" displayName="Tabla1" ref="A2:E36" totalsRowShown="0" headerRowDxfId="0" dataDxfId="1" headerRowBorderDxfId="18" tableBorderDxfId="19" totalsRowBorderDxfId="17">
  <autoFilter ref="A2:E36" xr:uid="{78AAD7AC-560E-474A-B1E5-A4AF4532FF31}"/>
  <tableColumns count="5">
    <tableColumn id="1" xr3:uid="{A53DAD96-5AE7-4C29-A1F4-FE8D03063A31}" name="AÑO" dataDxfId="6"/>
    <tableColumn id="2" xr3:uid="{01E98EC1-8F3A-4EF1-AF63-DB3601D42A4D}" name="MES" dataDxfId="5"/>
    <tableColumn id="3" xr3:uid="{C44B5114-9B45-411D-9A26-4E36D7620F51}" name="FAMILIA DE MATERIALES" dataDxfId="4"/>
    <tableColumn id="4" xr3:uid="{3846D859-CB74-4C0C-B125-FF8854753570}" name="APROVECHAMIENTO (TON)" dataDxfId="3"/>
    <tableColumn id="5" xr3:uid="{DF7064AD-E61F-4C2E-B403-3E1366062D13}" name="RECHAZO (TON)" dataDxfId="2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4CB0-F93D-4C24-9A57-76B532A09FA0}">
  <dimension ref="A1:E36"/>
  <sheetViews>
    <sheetView showGridLines="0" tabSelected="1" workbookViewId="0">
      <selection activeCell="A6" sqref="A6:E6"/>
    </sheetView>
  </sheetViews>
  <sheetFormatPr baseColWidth="10" defaultRowHeight="14.25"/>
  <cols>
    <col min="1" max="1" width="11.375" style="1"/>
    <col min="2" max="2" width="15.375" style="1" bestFit="1" customWidth="1"/>
    <col min="3" max="3" width="27.5" style="1" customWidth="1"/>
    <col min="4" max="4" width="29.375" style="1" customWidth="1"/>
    <col min="5" max="5" width="18.625" style="1" customWidth="1"/>
  </cols>
  <sheetData>
    <row r="1" spans="1:5" ht="66.75" customHeight="1">
      <c r="A1" s="4" t="s">
        <v>16</v>
      </c>
      <c r="B1" s="5"/>
      <c r="C1" s="5"/>
      <c r="D1" s="5"/>
      <c r="E1" s="6"/>
    </row>
    <row r="2" spans="1:5" ht="39">
      <c r="A2" s="9" t="s">
        <v>0</v>
      </c>
      <c r="B2" s="10" t="s">
        <v>1</v>
      </c>
      <c r="C2" s="11" t="s">
        <v>14</v>
      </c>
      <c r="D2" s="11" t="s">
        <v>12</v>
      </c>
      <c r="E2" s="12" t="s">
        <v>13</v>
      </c>
    </row>
    <row r="3" spans="1:5" ht="18.75">
      <c r="A3" s="7">
        <v>2026</v>
      </c>
      <c r="B3" s="7" t="s">
        <v>5</v>
      </c>
      <c r="C3" s="7" t="s">
        <v>2</v>
      </c>
      <c r="D3" s="7">
        <v>108.92049999999992</v>
      </c>
      <c r="E3" s="7">
        <v>0.83399999999999774</v>
      </c>
    </row>
    <row r="4" spans="1:5" ht="18.75">
      <c r="A4" s="7">
        <v>2026</v>
      </c>
      <c r="B4" s="7" t="s">
        <v>5</v>
      </c>
      <c r="C4" s="7" t="s">
        <v>3</v>
      </c>
      <c r="D4" s="7">
        <v>60.365599999999866</v>
      </c>
      <c r="E4" s="7">
        <v>0.47110000000000052</v>
      </c>
    </row>
    <row r="5" spans="1:5" ht="18.75">
      <c r="A5" s="7">
        <v>2026</v>
      </c>
      <c r="B5" s="7" t="s">
        <v>5</v>
      </c>
      <c r="C5" s="7" t="s">
        <v>4</v>
      </c>
      <c r="D5" s="7">
        <v>4.5860000000000252</v>
      </c>
      <c r="E5" s="7">
        <v>3.5300000000000005E-2</v>
      </c>
    </row>
    <row r="6" spans="1:5" ht="18.75">
      <c r="A6" s="13">
        <v>2026</v>
      </c>
      <c r="B6" s="13" t="s">
        <v>5</v>
      </c>
      <c r="C6" s="13" t="s">
        <v>15</v>
      </c>
      <c r="D6" s="13">
        <f>SUM(D3:D5)</f>
        <v>173.87209999999979</v>
      </c>
      <c r="E6" s="13">
        <f>SUM(E3:E5)</f>
        <v>1.3403999999999983</v>
      </c>
    </row>
    <row r="7" spans="1:5" ht="18.75">
      <c r="A7" s="7"/>
      <c r="B7" s="7"/>
      <c r="C7" s="7"/>
      <c r="D7" s="7"/>
      <c r="E7" s="7"/>
    </row>
    <row r="8" spans="1:5" ht="18.75">
      <c r="A8" s="7">
        <v>2026</v>
      </c>
      <c r="B8" s="7" t="s">
        <v>6</v>
      </c>
      <c r="C8" s="7" t="s">
        <v>2</v>
      </c>
      <c r="D8" s="7">
        <v>109.48310000000001</v>
      </c>
      <c r="E8" s="7">
        <v>0.84329999999999639</v>
      </c>
    </row>
    <row r="9" spans="1:5" ht="18.75">
      <c r="A9" s="7">
        <v>2026</v>
      </c>
      <c r="B9" s="7" t="s">
        <v>6</v>
      </c>
      <c r="C9" s="7" t="s">
        <v>3</v>
      </c>
      <c r="D9" s="7">
        <v>60.677100000000017</v>
      </c>
      <c r="E9" s="7">
        <v>0.45569999999999988</v>
      </c>
    </row>
    <row r="10" spans="1:5" ht="18.75">
      <c r="A10" s="7">
        <v>2026</v>
      </c>
      <c r="B10" s="7" t="s">
        <v>6</v>
      </c>
      <c r="C10" s="7" t="s">
        <v>4</v>
      </c>
      <c r="D10" s="7">
        <v>4.610100000000009</v>
      </c>
      <c r="E10" s="7">
        <v>3.2400000000000012E-2</v>
      </c>
    </row>
    <row r="11" spans="1:5" ht="18.75">
      <c r="A11" s="13">
        <v>2026</v>
      </c>
      <c r="B11" s="13" t="s">
        <v>6</v>
      </c>
      <c r="C11" s="13" t="s">
        <v>15</v>
      </c>
      <c r="D11" s="13">
        <f>SUM(D8:D10)</f>
        <v>174.77030000000005</v>
      </c>
      <c r="E11" s="13">
        <f>SUM(E8:E10)</f>
        <v>1.3313999999999964</v>
      </c>
    </row>
    <row r="12" spans="1:5" ht="18.75">
      <c r="A12" s="7"/>
      <c r="B12" s="7"/>
      <c r="C12" s="7"/>
      <c r="D12" s="7"/>
      <c r="E12" s="7"/>
    </row>
    <row r="13" spans="1:5" ht="18.75">
      <c r="A13" s="7">
        <v>2026</v>
      </c>
      <c r="B13" s="7" t="s">
        <v>7</v>
      </c>
      <c r="C13" s="7" t="s">
        <v>2</v>
      </c>
      <c r="D13" s="7">
        <v>108.54420000000036</v>
      </c>
      <c r="E13" s="7">
        <v>0.84719999999999651</v>
      </c>
    </row>
    <row r="14" spans="1:5" ht="18.75">
      <c r="A14" s="7">
        <v>2026</v>
      </c>
      <c r="B14" s="7" t="s">
        <v>7</v>
      </c>
      <c r="C14" s="7" t="s">
        <v>3</v>
      </c>
      <c r="D14" s="7">
        <v>60.15619999999992</v>
      </c>
      <c r="E14" s="7">
        <v>0.42280000000000079</v>
      </c>
    </row>
    <row r="15" spans="1:5" ht="18.75">
      <c r="A15" s="7">
        <v>2026</v>
      </c>
      <c r="B15" s="7" t="s">
        <v>7</v>
      </c>
      <c r="C15" s="7" t="s">
        <v>4</v>
      </c>
      <c r="D15" s="7">
        <v>4.5703000000000173</v>
      </c>
      <c r="E15" s="7">
        <v>3.9000000000000014E-2</v>
      </c>
    </row>
    <row r="16" spans="1:5" ht="18.75">
      <c r="A16" s="13">
        <v>2026</v>
      </c>
      <c r="B16" s="13" t="s">
        <v>7</v>
      </c>
      <c r="C16" s="13" t="s">
        <v>15</v>
      </c>
      <c r="D16" s="13">
        <f>SUM(D13:D15)</f>
        <v>173.27070000000032</v>
      </c>
      <c r="E16" s="13">
        <f>SUM(E13:E15)</f>
        <v>1.3089999999999973</v>
      </c>
    </row>
    <row r="17" spans="1:5" ht="18.75">
      <c r="A17" s="7"/>
      <c r="B17" s="7"/>
      <c r="C17" s="7"/>
      <c r="D17" s="7"/>
      <c r="E17" s="7"/>
    </row>
    <row r="18" spans="1:5" ht="18.75">
      <c r="A18" s="7">
        <v>2026</v>
      </c>
      <c r="B18" s="7" t="s">
        <v>8</v>
      </c>
      <c r="C18" s="7" t="s">
        <v>2</v>
      </c>
      <c r="D18" s="7">
        <v>109.17059999999992</v>
      </c>
      <c r="E18" s="7">
        <v>0.8118999999999994</v>
      </c>
    </row>
    <row r="19" spans="1:5" ht="18.75">
      <c r="A19" s="7">
        <v>2026</v>
      </c>
      <c r="B19" s="7" t="s">
        <v>8</v>
      </c>
      <c r="C19" s="7" t="s">
        <v>3</v>
      </c>
      <c r="D19" s="7">
        <v>60.503499999999896</v>
      </c>
      <c r="E19" s="7">
        <v>0.43350000000000011</v>
      </c>
    </row>
    <row r="20" spans="1:5" ht="18.75">
      <c r="A20" s="7">
        <v>2026</v>
      </c>
      <c r="B20" s="7" t="s">
        <v>8</v>
      </c>
      <c r="C20" s="7" t="s">
        <v>4</v>
      </c>
      <c r="D20" s="7">
        <v>4.596000000000001</v>
      </c>
      <c r="E20" s="7">
        <v>4.1000000000000009E-2</v>
      </c>
    </row>
    <row r="21" spans="1:5" ht="18.75">
      <c r="A21" s="13">
        <v>2026</v>
      </c>
      <c r="B21" s="13" t="s">
        <v>8</v>
      </c>
      <c r="C21" s="13" t="s">
        <v>15</v>
      </c>
      <c r="D21" s="13">
        <f>SUM(D18:D20)</f>
        <v>174.27009999999981</v>
      </c>
      <c r="E21" s="13">
        <f>SUM(E18:E20)</f>
        <v>1.2863999999999995</v>
      </c>
    </row>
    <row r="22" spans="1:5" ht="18.75">
      <c r="A22" s="7"/>
      <c r="B22" s="7"/>
      <c r="C22" s="7"/>
      <c r="D22" s="7"/>
      <c r="E22" s="7"/>
    </row>
    <row r="23" spans="1:5" ht="18.75">
      <c r="A23" s="7">
        <v>2026</v>
      </c>
      <c r="B23" s="7" t="s">
        <v>9</v>
      </c>
      <c r="C23" s="7" t="s">
        <v>2</v>
      </c>
      <c r="D23" s="7">
        <v>109.79660000000072</v>
      </c>
      <c r="E23" s="7">
        <v>0.84959999999999991</v>
      </c>
    </row>
    <row r="24" spans="1:5" ht="18.75">
      <c r="A24" s="7">
        <v>2026</v>
      </c>
      <c r="B24" s="7" t="s">
        <v>9</v>
      </c>
      <c r="C24" s="7" t="s">
        <v>3</v>
      </c>
      <c r="D24" s="7">
        <v>60.851500000000151</v>
      </c>
      <c r="E24" s="7">
        <v>0.42059999999999992</v>
      </c>
    </row>
    <row r="25" spans="1:5" ht="18.75">
      <c r="A25" s="7">
        <v>2026</v>
      </c>
      <c r="B25" s="7" t="s">
        <v>9</v>
      </c>
      <c r="C25" s="7" t="s">
        <v>4</v>
      </c>
      <c r="D25" s="7">
        <v>4.6220000000000194</v>
      </c>
      <c r="E25" s="7">
        <v>3.4000000000000002E-2</v>
      </c>
    </row>
    <row r="26" spans="1:5" ht="18.75">
      <c r="A26" s="13">
        <v>2026</v>
      </c>
      <c r="B26" s="13" t="s">
        <v>9</v>
      </c>
      <c r="C26" s="13" t="s">
        <v>15</v>
      </c>
      <c r="D26" s="13">
        <f>SUM(D23:D25)</f>
        <v>175.27010000000089</v>
      </c>
      <c r="E26" s="13">
        <f>SUM(E23:E25)</f>
        <v>1.3041999999999998</v>
      </c>
    </row>
    <row r="27" spans="1:5" ht="18.75">
      <c r="A27" s="7"/>
      <c r="B27" s="7"/>
      <c r="C27" s="7"/>
      <c r="D27" s="7"/>
      <c r="E27" s="7"/>
    </row>
    <row r="28" spans="1:5" ht="18.75">
      <c r="A28" s="7">
        <v>2026</v>
      </c>
      <c r="B28" s="7" t="s">
        <v>10</v>
      </c>
      <c r="C28" s="7" t="s">
        <v>2</v>
      </c>
      <c r="D28" s="7">
        <v>109.29709999999966</v>
      </c>
      <c r="E28" s="7">
        <v>0.79519999999999957</v>
      </c>
    </row>
    <row r="29" spans="1:5" ht="18.75">
      <c r="A29" s="7">
        <v>2026</v>
      </c>
      <c r="B29" s="7" t="s">
        <v>10</v>
      </c>
      <c r="C29" s="7" t="s">
        <v>3</v>
      </c>
      <c r="D29" s="7">
        <v>60.565600000000188</v>
      </c>
      <c r="E29" s="7">
        <v>0.50190000000000035</v>
      </c>
    </row>
    <row r="30" spans="1:5" ht="18.75">
      <c r="A30" s="7">
        <v>2026</v>
      </c>
      <c r="B30" s="7" t="s">
        <v>10</v>
      </c>
      <c r="C30" s="7" t="s">
        <v>4</v>
      </c>
      <c r="D30" s="7">
        <v>4.6010000000000097</v>
      </c>
      <c r="E30" s="7">
        <v>3.4799999999999998E-2</v>
      </c>
    </row>
    <row r="31" spans="1:5" ht="18.75">
      <c r="A31" s="13">
        <v>2026</v>
      </c>
      <c r="B31" s="13" t="s">
        <v>10</v>
      </c>
      <c r="C31" s="13" t="s">
        <v>15</v>
      </c>
      <c r="D31" s="13">
        <f>SUM(D28:D30)</f>
        <v>174.46369999999985</v>
      </c>
      <c r="E31" s="13">
        <f>SUM(E28:E30)</f>
        <v>1.3318999999999999</v>
      </c>
    </row>
    <row r="32" spans="1:5" ht="18.75">
      <c r="A32" s="7"/>
      <c r="B32" s="7"/>
      <c r="C32" s="7"/>
      <c r="D32" s="7"/>
      <c r="E32" s="7"/>
    </row>
    <row r="33" spans="1:5" ht="18.75">
      <c r="A33" s="7">
        <v>2026</v>
      </c>
      <c r="B33" s="7" t="s">
        <v>11</v>
      </c>
      <c r="C33" s="7" t="s">
        <v>2</v>
      </c>
      <c r="D33" s="7">
        <v>109.98700000000028</v>
      </c>
      <c r="E33" s="7">
        <v>0.83900000000000063</v>
      </c>
    </row>
    <row r="34" spans="1:5" ht="18.75">
      <c r="A34" s="7">
        <v>2026</v>
      </c>
      <c r="B34" s="7" t="s">
        <v>11</v>
      </c>
      <c r="C34" s="7" t="s">
        <v>3</v>
      </c>
      <c r="D34" s="7">
        <v>60.956099999999886</v>
      </c>
      <c r="E34" s="7">
        <v>0.47540000000000027</v>
      </c>
    </row>
    <row r="35" spans="1:5" ht="18.75">
      <c r="A35" s="8">
        <v>2026</v>
      </c>
      <c r="B35" s="8" t="s">
        <v>11</v>
      </c>
      <c r="C35" s="8" t="s">
        <v>4</v>
      </c>
      <c r="D35" s="8">
        <v>4.629999999999999</v>
      </c>
      <c r="E35" s="8">
        <v>3.0999999999999996E-2</v>
      </c>
    </row>
    <row r="36" spans="1:5" ht="18.75">
      <c r="A36" s="14">
        <v>2026</v>
      </c>
      <c r="B36" s="14" t="s">
        <v>11</v>
      </c>
      <c r="C36" s="13" t="s">
        <v>15</v>
      </c>
      <c r="D36" s="13">
        <f>SUM(D33:D35)</f>
        <v>175.57310000000015</v>
      </c>
      <c r="E36" s="13">
        <f>SUM(E33:E35)</f>
        <v>1.3454000000000008</v>
      </c>
    </row>
  </sheetData>
  <mergeCells count="1">
    <mergeCell ref="A1:E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74CF-28BB-4BE1-8860-EE7672D9995B}">
  <dimension ref="A1:E36"/>
  <sheetViews>
    <sheetView showGridLines="0" workbookViewId="0">
      <selection activeCell="D36" sqref="D36"/>
    </sheetView>
  </sheetViews>
  <sheetFormatPr baseColWidth="10" defaultRowHeight="15"/>
  <cols>
    <col min="1" max="1" width="7.125" style="3" customWidth="1"/>
    <col min="2" max="2" width="10.75" style="3" bestFit="1" customWidth="1"/>
    <col min="3" max="3" width="27.5" style="3" customWidth="1"/>
    <col min="4" max="4" width="29.375" style="3" customWidth="1"/>
    <col min="5" max="5" width="18.625" style="3" customWidth="1"/>
    <col min="6" max="16384" width="11" style="2"/>
  </cols>
  <sheetData>
    <row r="1" spans="1:5" ht="55.5" customHeight="1">
      <c r="A1" s="4" t="s">
        <v>17</v>
      </c>
      <c r="B1" s="5"/>
      <c r="C1" s="5"/>
      <c r="D1" s="5"/>
      <c r="E1" s="6"/>
    </row>
    <row r="2" spans="1:5" ht="50.25" customHeight="1">
      <c r="A2" s="21" t="s">
        <v>0</v>
      </c>
      <c r="B2" s="10" t="s">
        <v>1</v>
      </c>
      <c r="C2" s="11" t="s">
        <v>14</v>
      </c>
      <c r="D2" s="11" t="s">
        <v>12</v>
      </c>
      <c r="E2" s="22" t="s">
        <v>13</v>
      </c>
    </row>
    <row r="3" spans="1:5" ht="19.5">
      <c r="A3" s="15">
        <v>2026</v>
      </c>
      <c r="B3" s="16" t="s">
        <v>5</v>
      </c>
      <c r="C3" s="16" t="s">
        <v>2</v>
      </c>
      <c r="D3" s="16">
        <v>51.78769999999993</v>
      </c>
      <c r="E3" s="17">
        <v>0.39789999999999981</v>
      </c>
    </row>
    <row r="4" spans="1:5" ht="19.5">
      <c r="A4" s="15">
        <v>2026</v>
      </c>
      <c r="B4" s="16" t="s">
        <v>5</v>
      </c>
      <c r="C4" s="16" t="s">
        <v>3</v>
      </c>
      <c r="D4" s="16">
        <v>38.052199999999971</v>
      </c>
      <c r="E4" s="17">
        <v>0.27650000000000025</v>
      </c>
    </row>
    <row r="5" spans="1:5" ht="19.5">
      <c r="A5" s="15">
        <v>2026</v>
      </c>
      <c r="B5" s="16" t="s">
        <v>5</v>
      </c>
      <c r="C5" s="16" t="s">
        <v>4</v>
      </c>
      <c r="D5" s="16">
        <v>7.9649999999999999</v>
      </c>
      <c r="E5" s="17">
        <v>6.4100000000000018E-2</v>
      </c>
    </row>
    <row r="6" spans="1:5" ht="18.75">
      <c r="A6" s="13">
        <v>2026</v>
      </c>
      <c r="B6" s="13" t="s">
        <v>5</v>
      </c>
      <c r="C6" s="13" t="s">
        <v>15</v>
      </c>
      <c r="D6" s="13">
        <f>SUM(D3:D5)</f>
        <v>97.804899999999904</v>
      </c>
      <c r="E6" s="13">
        <f>SUM(E3:E5)</f>
        <v>0.73850000000000016</v>
      </c>
    </row>
    <row r="7" spans="1:5" ht="19.5">
      <c r="A7" s="15"/>
      <c r="B7" s="16"/>
      <c r="C7" s="16"/>
      <c r="D7" s="16"/>
      <c r="E7" s="17"/>
    </row>
    <row r="8" spans="1:5" ht="19.5">
      <c r="A8" s="15">
        <v>2026</v>
      </c>
      <c r="B8" s="16" t="s">
        <v>6</v>
      </c>
      <c r="C8" s="16" t="s">
        <v>2</v>
      </c>
      <c r="D8" s="16">
        <v>52.212600000000066</v>
      </c>
      <c r="E8" s="17">
        <v>0.41859999999999992</v>
      </c>
    </row>
    <row r="9" spans="1:5" ht="19.5">
      <c r="A9" s="15">
        <v>2026</v>
      </c>
      <c r="B9" s="16" t="s">
        <v>6</v>
      </c>
      <c r="C9" s="16" t="s">
        <v>3</v>
      </c>
      <c r="D9" s="16">
        <v>38.36459999999996</v>
      </c>
      <c r="E9" s="17">
        <v>0.30229999999999985</v>
      </c>
    </row>
    <row r="10" spans="1:5" ht="19.5">
      <c r="A10" s="15">
        <v>2026</v>
      </c>
      <c r="B10" s="16" t="s">
        <v>6</v>
      </c>
      <c r="C10" s="16" t="s">
        <v>4</v>
      </c>
      <c r="D10" s="16">
        <v>8.0300999999999743</v>
      </c>
      <c r="E10" s="17">
        <v>5.6399999999999985E-2</v>
      </c>
    </row>
    <row r="11" spans="1:5" ht="18.75">
      <c r="A11" s="13">
        <v>2026</v>
      </c>
      <c r="B11" s="13" t="s">
        <v>6</v>
      </c>
      <c r="C11" s="13" t="s">
        <v>15</v>
      </c>
      <c r="D11" s="13">
        <f>SUM(D8:D10)</f>
        <v>98.607300000000009</v>
      </c>
      <c r="E11" s="13">
        <f>SUM(E8:E10)</f>
        <v>0.77729999999999977</v>
      </c>
    </row>
    <row r="12" spans="1:5" ht="19.5">
      <c r="A12" s="15"/>
      <c r="B12" s="16"/>
      <c r="C12" s="16"/>
      <c r="D12" s="16"/>
      <c r="E12" s="17"/>
    </row>
    <row r="13" spans="1:5" ht="19.5">
      <c r="A13" s="15">
        <v>2026</v>
      </c>
      <c r="B13" s="16" t="s">
        <v>7</v>
      </c>
      <c r="C13" s="16" t="s">
        <v>2</v>
      </c>
      <c r="D13" s="16">
        <v>51.576800000000077</v>
      </c>
      <c r="E13" s="17">
        <v>0.38339999999999969</v>
      </c>
    </row>
    <row r="14" spans="1:5" ht="19.5">
      <c r="A14" s="15">
        <v>2026</v>
      </c>
      <c r="B14" s="16" t="s">
        <v>7</v>
      </c>
      <c r="C14" s="16" t="s">
        <v>3</v>
      </c>
      <c r="D14" s="16">
        <v>37.897599999999947</v>
      </c>
      <c r="E14" s="17">
        <v>0.28920000000000007</v>
      </c>
    </row>
    <row r="15" spans="1:5" ht="19.5">
      <c r="A15" s="15">
        <v>2026</v>
      </c>
      <c r="B15" s="16" t="s">
        <v>7</v>
      </c>
      <c r="C15" s="16" t="s">
        <v>4</v>
      </c>
      <c r="D15" s="16">
        <v>7.9325999999999892</v>
      </c>
      <c r="E15" s="17">
        <v>6.1299999999999993E-2</v>
      </c>
    </row>
    <row r="16" spans="1:5" ht="18.75">
      <c r="A16" s="13">
        <v>2026</v>
      </c>
      <c r="B16" s="13" t="s">
        <v>7</v>
      </c>
      <c r="C16" s="13" t="s">
        <v>15</v>
      </c>
      <c r="D16" s="13">
        <f>SUM(D13:D15)</f>
        <v>97.407000000000025</v>
      </c>
      <c r="E16" s="13">
        <f>SUM(E13:E15)</f>
        <v>0.73389999999999977</v>
      </c>
    </row>
    <row r="17" spans="1:5" ht="19.5">
      <c r="A17" s="15"/>
      <c r="B17" s="16"/>
      <c r="C17" s="16"/>
      <c r="D17" s="16"/>
      <c r="E17" s="17"/>
    </row>
    <row r="18" spans="1:5" ht="19.5">
      <c r="A18" s="15">
        <v>2026</v>
      </c>
      <c r="B18" s="16" t="s">
        <v>8</v>
      </c>
      <c r="C18" s="16" t="s">
        <v>2</v>
      </c>
      <c r="D18" s="16">
        <v>52.052799999999991</v>
      </c>
      <c r="E18" s="17">
        <v>0.39739999999999959</v>
      </c>
    </row>
    <row r="19" spans="1:5" ht="19.5">
      <c r="A19" s="15">
        <v>2026</v>
      </c>
      <c r="B19" s="16" t="s">
        <v>8</v>
      </c>
      <c r="C19" s="16" t="s">
        <v>3</v>
      </c>
      <c r="D19" s="16">
        <v>38.249299999999941</v>
      </c>
      <c r="E19" s="17">
        <v>0.28140000000000015</v>
      </c>
    </row>
    <row r="20" spans="1:5" ht="19.5">
      <c r="A20" s="15">
        <v>2026</v>
      </c>
      <c r="B20" s="16" t="s">
        <v>8</v>
      </c>
      <c r="C20" s="16" t="s">
        <v>4</v>
      </c>
      <c r="D20" s="16">
        <v>7.9671000000000021</v>
      </c>
      <c r="E20" s="17">
        <v>5.899999999999999E-2</v>
      </c>
    </row>
    <row r="21" spans="1:5" ht="18.75">
      <c r="A21" s="13">
        <v>2026</v>
      </c>
      <c r="B21" s="13" t="s">
        <v>8</v>
      </c>
      <c r="C21" s="13" t="s">
        <v>15</v>
      </c>
      <c r="D21" s="13">
        <f>SUM(D18:D20)</f>
        <v>98.269199999999941</v>
      </c>
      <c r="E21" s="13">
        <f>SUM(E18:E20)</f>
        <v>0.73779999999999968</v>
      </c>
    </row>
    <row r="22" spans="1:5" ht="19.5">
      <c r="A22" s="15"/>
      <c r="B22" s="16"/>
      <c r="C22" s="16"/>
      <c r="D22" s="16"/>
      <c r="E22" s="17"/>
    </row>
    <row r="23" spans="1:5" ht="19.5">
      <c r="A23" s="15">
        <v>2026</v>
      </c>
      <c r="B23" s="16" t="s">
        <v>9</v>
      </c>
      <c r="C23" s="16" t="s">
        <v>2</v>
      </c>
      <c r="D23" s="16">
        <v>52.581199999999747</v>
      </c>
      <c r="E23" s="17">
        <v>0.4048000000000001</v>
      </c>
    </row>
    <row r="24" spans="1:5" ht="19.5">
      <c r="A24" s="15">
        <v>2026</v>
      </c>
      <c r="B24" s="16" t="s">
        <v>9</v>
      </c>
      <c r="C24" s="16" t="s">
        <v>3</v>
      </c>
      <c r="D24" s="16">
        <v>38.638899999999985</v>
      </c>
      <c r="E24" s="17">
        <v>0.27579999999999999</v>
      </c>
    </row>
    <row r="25" spans="1:5" ht="19.5">
      <c r="A25" s="15">
        <v>2026</v>
      </c>
      <c r="B25" s="16" t="s">
        <v>9</v>
      </c>
      <c r="C25" s="16" t="s">
        <v>4</v>
      </c>
      <c r="D25" s="16">
        <v>8.0861000000000036</v>
      </c>
      <c r="E25" s="17">
        <v>5.4299999999999994E-2</v>
      </c>
    </row>
    <row r="26" spans="1:5" ht="18.75">
      <c r="A26" s="13">
        <v>2026</v>
      </c>
      <c r="B26" s="13" t="s">
        <v>9</v>
      </c>
      <c r="C26" s="13" t="s">
        <v>15</v>
      </c>
      <c r="D26" s="13">
        <f>SUM(D23:D25)</f>
        <v>99.306199999999734</v>
      </c>
      <c r="E26" s="13">
        <f>SUM(E23:E25)</f>
        <v>0.73490000000000011</v>
      </c>
    </row>
    <row r="27" spans="1:5" ht="19.5">
      <c r="A27" s="15"/>
      <c r="B27" s="16"/>
      <c r="C27" s="16"/>
      <c r="D27" s="16"/>
      <c r="E27" s="17"/>
    </row>
    <row r="28" spans="1:5" ht="19.5">
      <c r="A28" s="15">
        <v>2026</v>
      </c>
      <c r="B28" s="16" t="s">
        <v>10</v>
      </c>
      <c r="C28" s="16" t="s">
        <v>2</v>
      </c>
      <c r="D28" s="16">
        <v>52.105799999999988</v>
      </c>
      <c r="E28" s="17">
        <v>0.38780000000000014</v>
      </c>
    </row>
    <row r="29" spans="1:5" ht="19.5">
      <c r="A29" s="15">
        <v>2026</v>
      </c>
      <c r="B29" s="16" t="s">
        <v>10</v>
      </c>
      <c r="C29" s="16" t="s">
        <v>3</v>
      </c>
      <c r="D29" s="16">
        <v>38.288300000000085</v>
      </c>
      <c r="E29" s="17">
        <v>0.27160000000000001</v>
      </c>
    </row>
    <row r="30" spans="1:5" ht="19.5">
      <c r="A30" s="15">
        <v>2026</v>
      </c>
      <c r="B30" s="16" t="s">
        <v>10</v>
      </c>
      <c r="C30" s="16" t="s">
        <v>4</v>
      </c>
      <c r="D30" s="16">
        <v>8.0131000000000103</v>
      </c>
      <c r="E30" s="17">
        <v>5.9899999999999995E-2</v>
      </c>
    </row>
    <row r="31" spans="1:5" ht="18.75">
      <c r="A31" s="13">
        <v>2026</v>
      </c>
      <c r="B31" s="13" t="s">
        <v>10</v>
      </c>
      <c r="C31" s="13" t="s">
        <v>15</v>
      </c>
      <c r="D31" s="13">
        <f>SUM(D28:D30)</f>
        <v>98.407200000000074</v>
      </c>
      <c r="E31" s="13">
        <f>SUM(E28:E30)</f>
        <v>0.71930000000000016</v>
      </c>
    </row>
    <row r="32" spans="1:5" ht="19.5">
      <c r="A32" s="15"/>
      <c r="B32" s="16"/>
      <c r="C32" s="16"/>
      <c r="D32" s="16"/>
      <c r="E32" s="17"/>
    </row>
    <row r="33" spans="1:5" ht="19.5">
      <c r="A33" s="15">
        <v>2026</v>
      </c>
      <c r="B33" s="16" t="s">
        <v>11</v>
      </c>
      <c r="C33" s="16" t="s">
        <v>2</v>
      </c>
      <c r="D33" s="16">
        <v>52.635399999999997</v>
      </c>
      <c r="E33" s="17">
        <v>0.41050000000000003</v>
      </c>
    </row>
    <row r="34" spans="1:5" ht="19.5">
      <c r="A34" s="15">
        <v>2026</v>
      </c>
      <c r="B34" s="16" t="s">
        <v>11</v>
      </c>
      <c r="C34" s="16" t="s">
        <v>3</v>
      </c>
      <c r="D34" s="16">
        <v>38.678700000000013</v>
      </c>
      <c r="E34" s="17">
        <v>0.29419999999999991</v>
      </c>
    </row>
    <row r="35" spans="1:5" ht="19.5">
      <c r="A35" s="18">
        <v>2026</v>
      </c>
      <c r="B35" s="19" t="s">
        <v>11</v>
      </c>
      <c r="C35" s="19" t="s">
        <v>4</v>
      </c>
      <c r="D35" s="19">
        <v>8.0941000000000116</v>
      </c>
      <c r="E35" s="20">
        <v>5.4600000000000003E-2</v>
      </c>
    </row>
    <row r="36" spans="1:5" ht="19.5">
      <c r="A36" s="23">
        <v>2026</v>
      </c>
      <c r="B36" s="24" t="s">
        <v>11</v>
      </c>
      <c r="C36" s="24" t="s">
        <v>15</v>
      </c>
      <c r="D36" s="24">
        <f>SUM(D33:D35)</f>
        <v>99.408200000000022</v>
      </c>
      <c r="E36" s="25">
        <f>SUM(E33:E35)</f>
        <v>0.75929999999999986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MONTERIA</vt:lpstr>
      <vt:lpstr>LORICA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 COLOMBIA</dc:creator>
  <cp:lastModifiedBy>ASOREDC COLOMBIA</cp:lastModifiedBy>
  <dcterms:created xsi:type="dcterms:W3CDTF">2026-09-24T13:33:31Z</dcterms:created>
  <dcterms:modified xsi:type="dcterms:W3CDTF">2026-09-29T19:52:35Z</dcterms:modified>
</cp:coreProperties>
</file>